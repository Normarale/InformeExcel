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URSOS\CURSOS 2022\Udemy\Graficos_excel_powerBI\"/>
    </mc:Choice>
  </mc:AlternateContent>
  <bookViews>
    <workbookView xWindow="0" yWindow="0" windowWidth="20490" windowHeight="6765"/>
  </bookViews>
  <sheets>
    <sheet name="Ventas" sheetId="1" r:id="rId1"/>
    <sheet name="Informe" sheetId="8" r:id="rId2"/>
    <sheet name="Tablas dinámicas" sheetId="2" state="hidden" r:id="rId3"/>
  </sheets>
  <definedNames>
    <definedName name="SegmentaciónDeDatos_Producto">#N/A</definedName>
    <definedName name="SegmentaciónDeDatos_Producto1">#N/A</definedName>
    <definedName name="SegmentaciónDeDatos_Producto2">#N/A</definedName>
    <definedName name="SegmentaciónDeDatos_Region">#N/A</definedName>
    <definedName name="SegmentaciónDeDatos_Region1">#N/A</definedName>
    <definedName name="SegmentaciónDeDatos_Vendedor">#N/A</definedName>
    <definedName name="SegmentaciónDeDatos_Vendedor1">#N/A</definedName>
  </definedNames>
  <calcPr calcId="152511"/>
  <pivotCaches>
    <pivotCache cacheId="38" r:id="rId4"/>
    <pivotCache cacheId="43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  <x14:slicerCache r:id="rId12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1" l="1"/>
  <c r="A8" i="8"/>
</calcChain>
</file>

<file path=xl/sharedStrings.xml><?xml version="1.0" encoding="utf-8"?>
<sst xmlns="http://schemas.openxmlformats.org/spreadsheetml/2006/main" count="110" uniqueCount="27">
  <si>
    <t>Region</t>
  </si>
  <si>
    <t>Producto</t>
  </si>
  <si>
    <t>Vendedor</t>
  </si>
  <si>
    <t>Ventas</t>
  </si>
  <si>
    <t>Central</t>
  </si>
  <si>
    <t>Accesorios</t>
  </si>
  <si>
    <t>David</t>
  </si>
  <si>
    <t>Karen</t>
  </si>
  <si>
    <t>Dispositivos</t>
  </si>
  <si>
    <t>Sistemas</t>
  </si>
  <si>
    <t>Este</t>
  </si>
  <si>
    <t>Ana</t>
  </si>
  <si>
    <t>Lucas</t>
  </si>
  <si>
    <t>Oeste</t>
  </si>
  <si>
    <t>Kevin</t>
  </si>
  <si>
    <t>Sara</t>
  </si>
  <si>
    <t>Total</t>
  </si>
  <si>
    <t>Suma de Ventas</t>
  </si>
  <si>
    <t>Etiquetas de fila</t>
  </si>
  <si>
    <t>Total general</t>
  </si>
  <si>
    <t>(Todas)</t>
  </si>
  <si>
    <t>Etiquetas de columna</t>
  </si>
  <si>
    <t xml:space="preserve">Region </t>
  </si>
  <si>
    <t>$  Ventas</t>
  </si>
  <si>
    <t>Productos</t>
  </si>
  <si>
    <t>Total Ventas</t>
  </si>
  <si>
    <t>INFORME DE 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</si>
</sst>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_-[$$-2C0A]\ * #,##0.00_-;\-[$$-2C0A]\ * #,##0.00_-;_-[$$-2C0A]\ * &quot;-&quot;??_-;_-@_-"/>
    <numFmt numFmtId="165" formatCode="[$$-2C0A]\ #,##0.00;[Red][$$-2C0A]\ #,##0.00"/>
    <numFmt numFmtId="169" formatCode="[$$-2C0A]\ #,##0;[Red][$$-2C0A]\ #,##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9" fontId="0" fillId="0" borderId="0" xfId="0" applyNumberFormat="1"/>
    <xf numFmtId="165" fontId="3" fillId="0" borderId="0" xfId="0" applyNumberFormat="1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4" fillId="3" borderId="0" xfId="0" applyFont="1" applyFill="1" applyAlignment="1"/>
    <xf numFmtId="0" fontId="4" fillId="4" borderId="0" xfId="0" applyFont="1" applyFill="1" applyAlignment="1">
      <alignment horizontal="center"/>
    </xf>
  </cellXfs>
  <cellStyles count="2">
    <cellStyle name="Moneda" xfId="1" builtinId="4"/>
    <cellStyle name="Normal" xfId="0" builtinId="0"/>
  </cellStyles>
  <dxfs count="9">
    <dxf>
      <numFmt numFmtId="165" formatCode="[$$-2C0A]\ #,##0.00;[Red][$$-2C0A]\ #,##0.00"/>
    </dxf>
    <dxf>
      <numFmt numFmtId="169" formatCode="[$$-2C0A]\ #,##0;[Red][$$-2C0A]\ #,##0"/>
    </dxf>
    <dxf>
      <numFmt numFmtId="165" formatCode="[$$-2C0A]\ #,##0.00;[Red][$$-2C0A]\ #,##0.00"/>
    </dxf>
    <dxf>
      <numFmt numFmtId="169" formatCode="[$$-2C0A]\ #,##0;[Red][$$-2C0A]\ #,##0"/>
    </dxf>
    <dxf>
      <numFmt numFmtId="164" formatCode="_-[$$-2C0A]\ * #,##0.00_-;\-[$$-2C0A]\ * #,##0.00_-;_-[$$-2C0A]\ * &quot;-&quot;??_-;_-@_-"/>
    </dxf>
    <dxf>
      <numFmt numFmtId="164" formatCode="_-[$$-2C0A]\ * #,##0.00_-;\-[$$-2C0A]\ * #,##0.00_-;_-[$$-2C0A]\ * &quot;-&quot;??_-;_-@_-"/>
    </dxf>
    <dxf>
      <numFmt numFmtId="164" formatCode="_-[$$-2C0A]\ * #,##0.00_-;\-[$$-2C0A]\ * #,##0.00_-;_-[$$-2C0A]\ * &quot;-&quot;??_-;_-@_-"/>
    </dxf>
    <dxf>
      <numFmt numFmtId="164" formatCode="_-[$$-2C0A]\ * #,##0.00_-;\-[$$-2C0A]\ * #,##0.00_-;_-[$$-2C0A]\ * &quot;-&quot;??_-;_-@_-"/>
    </dxf>
    <dxf>
      <numFmt numFmtId="164" formatCode="_-[$$-2C0A]\ * #,##0.00_-;\-[$$-2C0A]\ * #,##0.00_-;_-[$$-2C0A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7/relationships/slicerCache" Target="slicerCaches/slicerCache7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2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5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4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[Ventas-Bonus.xlsm]Informe!TDRgión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Ventas por Región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circle"/>
          <c:size val="4"/>
        </c:marke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Informe!$B$12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6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6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</c:dPt>
          <c:dLbls>
            <c:delete val="1"/>
          </c:dLbls>
          <c:cat>
            <c:strRef>
              <c:f>Informe!$A$13:$A$15</c:f>
              <c:strCache>
                <c:ptCount val="3"/>
                <c:pt idx="0">
                  <c:v>Central</c:v>
                </c:pt>
                <c:pt idx="1">
                  <c:v>Este</c:v>
                </c:pt>
                <c:pt idx="2">
                  <c:v>Oeste</c:v>
                </c:pt>
              </c:strCache>
            </c:strRef>
          </c:cat>
          <c:val>
            <c:numRef>
              <c:f>Informe!$B$13:$B$15</c:f>
              <c:numCache>
                <c:formatCode>[$$-2C0A]\ #,##0;[Red][$$-2C0A]\ #,##0</c:formatCode>
                <c:ptCount val="3"/>
                <c:pt idx="0">
                  <c:v>90295</c:v>
                </c:pt>
                <c:pt idx="1">
                  <c:v>63555</c:v>
                </c:pt>
                <c:pt idx="2">
                  <c:v>107532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[Ventas-Bonus.xlsm]Informe!TDProducto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Ventas por productos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Informe!$B$19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4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Informe!$A$20:$A$22</c:f>
              <c:strCache>
                <c:ptCount val="3"/>
                <c:pt idx="0">
                  <c:v>Sistemas</c:v>
                </c:pt>
                <c:pt idx="1">
                  <c:v>Dispositivos</c:v>
                </c:pt>
                <c:pt idx="2">
                  <c:v>Accesorios</c:v>
                </c:pt>
              </c:strCache>
            </c:strRef>
          </c:cat>
          <c:val>
            <c:numRef>
              <c:f>Informe!$B$20:$B$22</c:f>
              <c:numCache>
                <c:formatCode>[$$-2C0A]\ #,##0;[Red][$$-2C0A]\ #,##0</c:formatCode>
                <c:ptCount val="3"/>
                <c:pt idx="0">
                  <c:v>155491</c:v>
                </c:pt>
                <c:pt idx="1">
                  <c:v>63519</c:v>
                </c:pt>
                <c:pt idx="2">
                  <c:v>42372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[Ventas-Bonus.xlsm]Informe!TDVendedor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/>
              <a:t>Ventas por Vendedor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Informe!$B$26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Informe!$A$27:$A$33</c:f>
              <c:strCache>
                <c:ptCount val="6"/>
                <c:pt idx="0">
                  <c:v>Sara</c:v>
                </c:pt>
                <c:pt idx="1">
                  <c:v>Karen</c:v>
                </c:pt>
                <c:pt idx="2">
                  <c:v>Kevin</c:v>
                </c:pt>
                <c:pt idx="3">
                  <c:v>David</c:v>
                </c:pt>
                <c:pt idx="4">
                  <c:v>Ana</c:v>
                </c:pt>
                <c:pt idx="5">
                  <c:v>Lucas</c:v>
                </c:pt>
              </c:strCache>
            </c:strRef>
          </c:cat>
          <c:val>
            <c:numRef>
              <c:f>Informe!$B$27:$B$33</c:f>
              <c:numCache>
                <c:formatCode>[$$-2C0A]\ #,##0;[Red][$$-2C0A]\ #,##0</c:formatCode>
                <c:ptCount val="6"/>
                <c:pt idx="0">
                  <c:v>59222</c:v>
                </c:pt>
                <c:pt idx="1">
                  <c:v>50490</c:v>
                </c:pt>
                <c:pt idx="2">
                  <c:v>48310</c:v>
                </c:pt>
                <c:pt idx="3">
                  <c:v>39805</c:v>
                </c:pt>
                <c:pt idx="4">
                  <c:v>33202</c:v>
                </c:pt>
                <c:pt idx="5">
                  <c:v>30353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75520520"/>
        <c:axId val="375515032"/>
      </c:barChart>
      <c:catAx>
        <c:axId val="375520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75515032"/>
        <c:crosses val="autoZero"/>
        <c:auto val="1"/>
        <c:lblAlgn val="ctr"/>
        <c:lblOffset val="100"/>
        <c:noMultiLvlLbl val="0"/>
      </c:catAx>
      <c:valAx>
        <c:axId val="37551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2C0A]\ #,##0;[Red][$$-2C0A]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75520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[Ventas-Bonus.xlsm]Tablas dinámicas!TdVentas2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dinámicas'!$H$3:$H$4</c:f>
              <c:strCache>
                <c:ptCount val="1"/>
                <c:pt idx="0">
                  <c:v>Accesorios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'Tablas dinámicas'!$G$5:$G$14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'Tablas dinámicas'!$H$5:$H$14</c:f>
              <c:numCache>
                <c:formatCode>[$$-2C0A]\ #,##0;[Red][$$-2C0A]\ #,##0</c:formatCode>
                <c:ptCount val="6"/>
                <c:pt idx="0">
                  <c:v>8287</c:v>
                </c:pt>
                <c:pt idx="1">
                  <c:v>6909</c:v>
                </c:pt>
                <c:pt idx="2">
                  <c:v>9323</c:v>
                </c:pt>
                <c:pt idx="3">
                  <c:v>7667</c:v>
                </c:pt>
                <c:pt idx="4">
                  <c:v>4744</c:v>
                </c:pt>
                <c:pt idx="5">
                  <c:v>5442</c:v>
                </c:pt>
              </c:numCache>
            </c:numRef>
          </c:val>
        </c:ser>
        <c:ser>
          <c:idx val="1"/>
          <c:order val="1"/>
          <c:tx>
            <c:strRef>
              <c:f>'Tablas dinámicas'!$I$3:$I$4</c:f>
              <c:strCache>
                <c:ptCount val="1"/>
                <c:pt idx="0">
                  <c:v>Dispositivos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'Tablas dinámicas'!$G$5:$G$14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'Tablas dinámicas'!$I$5:$I$14</c:f>
              <c:numCache>
                <c:formatCode>[$$-2C0A]\ #,##0;[Red][$$-2C0A]\ #,##0</c:formatCode>
                <c:ptCount val="6"/>
                <c:pt idx="0">
                  <c:v>11420</c:v>
                </c:pt>
                <c:pt idx="1">
                  <c:v>12948</c:v>
                </c:pt>
                <c:pt idx="2">
                  <c:v>10348</c:v>
                </c:pt>
                <c:pt idx="3">
                  <c:v>9312</c:v>
                </c:pt>
                <c:pt idx="4">
                  <c:v>10711</c:v>
                </c:pt>
                <c:pt idx="5">
                  <c:v>8780</c:v>
                </c:pt>
              </c:numCache>
            </c:numRef>
          </c:val>
        </c:ser>
        <c:ser>
          <c:idx val="2"/>
          <c:order val="2"/>
          <c:tx>
            <c:strRef>
              <c:f>'Tablas dinámicas'!$J$3:$J$4</c:f>
              <c:strCache>
                <c:ptCount val="1"/>
                <c:pt idx="0">
                  <c:v>Sistemas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'Tablas dinámicas'!$G$5:$G$14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'Tablas dinámicas'!$J$5:$J$14</c:f>
              <c:numCache>
                <c:formatCode>[$$-2C0A]\ #,##0;[Red][$$-2C0A]\ #,##0</c:formatCode>
                <c:ptCount val="6"/>
                <c:pt idx="0">
                  <c:v>20098</c:v>
                </c:pt>
                <c:pt idx="1">
                  <c:v>30633</c:v>
                </c:pt>
                <c:pt idx="2">
                  <c:v>13531</c:v>
                </c:pt>
                <c:pt idx="3">
                  <c:v>13374</c:v>
                </c:pt>
                <c:pt idx="4">
                  <c:v>32855</c:v>
                </c:pt>
                <c:pt idx="5">
                  <c:v>45000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5513464"/>
        <c:axId val="375520128"/>
      </c:barChart>
      <c:catAx>
        <c:axId val="375513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75520128"/>
        <c:crosses val="autoZero"/>
        <c:auto val="1"/>
        <c:lblAlgn val="ctr"/>
        <c:lblOffset val="100"/>
        <c:noMultiLvlLbl val="0"/>
      </c:catAx>
      <c:valAx>
        <c:axId val="37552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2C0A]\ #,##0;[Red][$$-2C0A]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75513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[Ventas-Bonus.xlsm]Tablas dinámicas!TdVentas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'Tablas dinámicas'!$A$4:$A$13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'Tablas dinámicas'!$B$4:$B$13</c:f>
              <c:numCache>
                <c:formatCode>[$$-2C0A]\ #,##0;[Red][$$-2C0A]\ #,##0</c:formatCode>
                <c:ptCount val="6"/>
                <c:pt idx="0">
                  <c:v>39805</c:v>
                </c:pt>
                <c:pt idx="1">
                  <c:v>50490</c:v>
                </c:pt>
                <c:pt idx="2">
                  <c:v>33202</c:v>
                </c:pt>
                <c:pt idx="3">
                  <c:v>30353</c:v>
                </c:pt>
                <c:pt idx="4">
                  <c:v>48310</c:v>
                </c:pt>
                <c:pt idx="5">
                  <c:v>59222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5522480"/>
        <c:axId val="375523264"/>
      </c:barChart>
      <c:catAx>
        <c:axId val="37552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75523264"/>
        <c:crosses val="autoZero"/>
        <c:auto val="1"/>
        <c:lblAlgn val="ctr"/>
        <c:lblOffset val="100"/>
        <c:noMultiLvlLbl val="0"/>
      </c:catAx>
      <c:valAx>
        <c:axId val="37552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2C0A]\ #,##0;[Red][$$-2C0A]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7552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28575</xdr:colOff>
      <xdr:row>0</xdr:row>
      <xdr:rowOff>28576</xdr:rowOff>
    </xdr:from>
    <xdr:to>
      <xdr:col>8</xdr:col>
      <xdr:colOff>28575</xdr:colOff>
      <xdr:row>7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86175" y="28576"/>
              <a:ext cx="1828800" cy="1304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28575</xdr:colOff>
      <xdr:row>7</xdr:row>
      <xdr:rowOff>0</xdr:rowOff>
    </xdr:from>
    <xdr:to>
      <xdr:col>8</xdr:col>
      <xdr:colOff>28575</xdr:colOff>
      <xdr:row>13</xdr:row>
      <xdr:rowOff>85724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Produc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86175" y="1333500"/>
              <a:ext cx="1828800" cy="1228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28575</xdr:colOff>
      <xdr:row>13</xdr:row>
      <xdr:rowOff>152400</xdr:rowOff>
    </xdr:from>
    <xdr:to>
      <xdr:col>8</xdr:col>
      <xdr:colOff>28575</xdr:colOff>
      <xdr:row>20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Vend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86175" y="2628900"/>
              <a:ext cx="18288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419100</xdr:colOff>
      <xdr:row>6</xdr:row>
      <xdr:rowOff>47625</xdr:rowOff>
    </xdr:from>
    <xdr:to>
      <xdr:col>10</xdr:col>
      <xdr:colOff>676275</xdr:colOff>
      <xdr:row>12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Region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400" y="1200150"/>
              <a:ext cx="1514475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438150</xdr:colOff>
      <xdr:row>14</xdr:row>
      <xdr:rowOff>0</xdr:rowOff>
    </xdr:from>
    <xdr:to>
      <xdr:col>10</xdr:col>
      <xdr:colOff>676275</xdr:colOff>
      <xdr:row>20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roduct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67450" y="2733675"/>
              <a:ext cx="1495425" cy="1190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409575</xdr:colOff>
      <xdr:row>22</xdr:row>
      <xdr:rowOff>1</xdr:rowOff>
    </xdr:from>
    <xdr:to>
      <xdr:col>10</xdr:col>
      <xdr:colOff>666751</xdr:colOff>
      <xdr:row>33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Vendedo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8875" y="4257676"/>
              <a:ext cx="1514476" cy="2095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161925</xdr:colOff>
      <xdr:row>6</xdr:row>
      <xdr:rowOff>4764</xdr:rowOff>
    </xdr:from>
    <xdr:to>
      <xdr:col>5</xdr:col>
      <xdr:colOff>171450</xdr:colOff>
      <xdr:row>17</xdr:row>
      <xdr:rowOff>188204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219075</xdr:colOff>
      <xdr:row>6</xdr:row>
      <xdr:rowOff>0</xdr:rowOff>
    </xdr:from>
    <xdr:to>
      <xdr:col>8</xdr:col>
      <xdr:colOff>171450</xdr:colOff>
      <xdr:row>18</xdr:row>
      <xdr:rowOff>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171450</xdr:colOff>
      <xdr:row>20</xdr:row>
      <xdr:rowOff>0</xdr:rowOff>
    </xdr:from>
    <xdr:to>
      <xdr:col>8</xdr:col>
      <xdr:colOff>142875</xdr:colOff>
      <xdr:row>32</xdr:row>
      <xdr:rowOff>180976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762000</xdr:colOff>
      <xdr:row>2</xdr:row>
      <xdr:rowOff>38100</xdr:rowOff>
    </xdr:from>
    <xdr:to>
      <xdr:col>4</xdr:col>
      <xdr:colOff>752475</xdr:colOff>
      <xdr:row>8</xdr:row>
      <xdr:rowOff>123825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Product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43225" y="419100"/>
              <a:ext cx="13716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6</xdr:col>
      <xdr:colOff>0</xdr:colOff>
      <xdr:row>14</xdr:row>
      <xdr:rowOff>185737</xdr:rowOff>
    </xdr:from>
    <xdr:to>
      <xdr:col>10</xdr:col>
      <xdr:colOff>523875</xdr:colOff>
      <xdr:row>29</xdr:row>
      <xdr:rowOff>71437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</xdr:row>
      <xdr:rowOff>33337</xdr:rowOff>
    </xdr:from>
    <xdr:to>
      <xdr:col>5</xdr:col>
      <xdr:colOff>0</xdr:colOff>
      <xdr:row>28</xdr:row>
      <xdr:rowOff>109537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var2410@hotmail.com" refreshedDate="44779.483460648145" createdVersion="5" refreshedVersion="5" minRefreshableVersion="3" recordCount="18">
  <cacheSource type="worksheet">
    <worksheetSource name="TablaVentas"/>
  </cacheSource>
  <cacheFields count="4">
    <cacheField name="Region" numFmtId="164">
      <sharedItems count="3">
        <s v="Central"/>
        <s v="Este"/>
        <s v="Oeste"/>
      </sharedItems>
    </cacheField>
    <cacheField name="Producto" numFmtId="164">
      <sharedItems count="3">
        <s v="Accesorios"/>
        <s v="Dispositivos"/>
        <s v="Sistemas"/>
      </sharedItems>
    </cacheField>
    <cacheField name="Vendedor" numFmtId="164">
      <sharedItems count="6">
        <s v="David"/>
        <s v="Karen"/>
        <s v="Ana"/>
        <s v="Lucas"/>
        <s v="Kevin"/>
        <s v="Sara"/>
      </sharedItems>
    </cacheField>
    <cacheField name="Ventas" numFmtId="164">
      <sharedItems containsSemiMixedTypes="0" containsString="0" containsNumber="1" containsInteger="1" minValue="4744" maxValue="450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var2410@hotmail.com" refreshedDate="44779.483462152777" createdVersion="5" refreshedVersion="5" minRefreshableVersion="3" recordCount="18">
  <cacheSource type="worksheet">
    <worksheetSource name="TablaVentas"/>
  </cacheSource>
  <cacheFields count="4">
    <cacheField name="Region" numFmtId="164">
      <sharedItems count="3">
        <s v="Central"/>
        <s v="Este"/>
        <s v="Oeste"/>
      </sharedItems>
    </cacheField>
    <cacheField name="Producto" numFmtId="164">
      <sharedItems count="3">
        <s v="Accesorios"/>
        <s v="Dispositivos"/>
        <s v="Sistemas"/>
      </sharedItems>
    </cacheField>
    <cacheField name="Vendedor" numFmtId="164">
      <sharedItems count="6">
        <s v="David"/>
        <s v="Karen"/>
        <s v="Ana"/>
        <s v="Lucas"/>
        <s v="Kevin"/>
        <s v="Sara"/>
      </sharedItems>
    </cacheField>
    <cacheField name="Ventas" numFmtId="164">
      <sharedItems containsSemiMixedTypes="0" containsString="0" containsNumber="1" containsInteger="1" minValue="4744" maxValue="45000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  <x v="0"/>
    <n v="8287"/>
  </r>
  <r>
    <x v="0"/>
    <x v="0"/>
    <x v="1"/>
    <n v="6909"/>
  </r>
  <r>
    <x v="0"/>
    <x v="1"/>
    <x v="0"/>
    <n v="11420"/>
  </r>
  <r>
    <x v="0"/>
    <x v="1"/>
    <x v="1"/>
    <n v="12948"/>
  </r>
  <r>
    <x v="0"/>
    <x v="2"/>
    <x v="0"/>
    <n v="20098"/>
  </r>
  <r>
    <x v="0"/>
    <x v="2"/>
    <x v="1"/>
    <n v="30633"/>
  </r>
  <r>
    <x v="1"/>
    <x v="0"/>
    <x v="2"/>
    <n v="9323"/>
  </r>
  <r>
    <x v="1"/>
    <x v="0"/>
    <x v="3"/>
    <n v="7667"/>
  </r>
  <r>
    <x v="1"/>
    <x v="1"/>
    <x v="2"/>
    <n v="10348"/>
  </r>
  <r>
    <x v="1"/>
    <x v="1"/>
    <x v="3"/>
    <n v="9312"/>
  </r>
  <r>
    <x v="1"/>
    <x v="2"/>
    <x v="2"/>
    <n v="13531"/>
  </r>
  <r>
    <x v="1"/>
    <x v="2"/>
    <x v="3"/>
    <n v="13374"/>
  </r>
  <r>
    <x v="2"/>
    <x v="0"/>
    <x v="4"/>
    <n v="4744"/>
  </r>
  <r>
    <x v="2"/>
    <x v="0"/>
    <x v="5"/>
    <n v="5442"/>
  </r>
  <r>
    <x v="2"/>
    <x v="1"/>
    <x v="4"/>
    <n v="10711"/>
  </r>
  <r>
    <x v="2"/>
    <x v="1"/>
    <x v="5"/>
    <n v="8780"/>
  </r>
  <r>
    <x v="2"/>
    <x v="2"/>
    <x v="4"/>
    <n v="32855"/>
  </r>
  <r>
    <x v="2"/>
    <x v="2"/>
    <x v="5"/>
    <n v="45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">
  <r>
    <x v="0"/>
    <x v="0"/>
    <x v="0"/>
    <n v="8287"/>
  </r>
  <r>
    <x v="0"/>
    <x v="0"/>
    <x v="1"/>
    <n v="6909"/>
  </r>
  <r>
    <x v="0"/>
    <x v="1"/>
    <x v="0"/>
    <n v="11420"/>
  </r>
  <r>
    <x v="0"/>
    <x v="1"/>
    <x v="1"/>
    <n v="12948"/>
  </r>
  <r>
    <x v="0"/>
    <x v="2"/>
    <x v="0"/>
    <n v="20098"/>
  </r>
  <r>
    <x v="0"/>
    <x v="2"/>
    <x v="1"/>
    <n v="30633"/>
  </r>
  <r>
    <x v="1"/>
    <x v="0"/>
    <x v="2"/>
    <n v="9323"/>
  </r>
  <r>
    <x v="1"/>
    <x v="0"/>
    <x v="3"/>
    <n v="7667"/>
  </r>
  <r>
    <x v="1"/>
    <x v="1"/>
    <x v="2"/>
    <n v="10348"/>
  </r>
  <r>
    <x v="1"/>
    <x v="1"/>
    <x v="3"/>
    <n v="9312"/>
  </r>
  <r>
    <x v="1"/>
    <x v="2"/>
    <x v="2"/>
    <n v="13531"/>
  </r>
  <r>
    <x v="1"/>
    <x v="2"/>
    <x v="3"/>
    <n v="13374"/>
  </r>
  <r>
    <x v="2"/>
    <x v="0"/>
    <x v="4"/>
    <n v="4744"/>
  </r>
  <r>
    <x v="2"/>
    <x v="0"/>
    <x v="5"/>
    <n v="5442"/>
  </r>
  <r>
    <x v="2"/>
    <x v="1"/>
    <x v="4"/>
    <n v="10711"/>
  </r>
  <r>
    <x v="2"/>
    <x v="1"/>
    <x v="5"/>
    <n v="8780"/>
  </r>
  <r>
    <x v="2"/>
    <x v="2"/>
    <x v="4"/>
    <n v="32855"/>
  </r>
  <r>
    <x v="2"/>
    <x v="2"/>
    <x v="5"/>
    <n v="4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Vendedor" cacheId="4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6" rowHeaderCaption="Vendedor">
  <location ref="A26:B33" firstHeaderRow="1" firstDataRow="1" firstDataCol="1"/>
  <pivotFields count="4">
    <pivotField showAll="0">
      <items count="4">
        <item x="0"/>
        <item x="1"/>
        <item x="2"/>
        <item t="default"/>
      </items>
    </pivotField>
    <pivotField showAll="0">
      <items count="4">
        <item x="0"/>
        <item x="1"/>
        <item x="2"/>
        <item t="default"/>
      </items>
    </pivotField>
    <pivotField axis="axisRow" showAll="0" sortType="descending">
      <items count="7">
        <item x="2"/>
        <item x="0"/>
        <item x="1"/>
        <item x="4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</pivotFields>
  <rowFields count="1">
    <field x="2"/>
  </rowFields>
  <rowItems count="7">
    <i>
      <x v="5"/>
    </i>
    <i>
      <x v="2"/>
    </i>
    <i>
      <x v="3"/>
    </i>
    <i>
      <x v="1"/>
    </i>
    <i>
      <x/>
    </i>
    <i>
      <x v="4"/>
    </i>
    <i t="grand">
      <x/>
    </i>
  </rowItems>
  <colItems count="1">
    <i/>
  </colItems>
  <dataFields count="1">
    <dataField name="$  Ventas" fld="3" baseField="0" baseItem="0" numFmtId="169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DProducto" cacheId="43" applyNumberFormats="0" applyBorderFormats="0" applyFontFormats="0" applyPatternFormats="0" applyAlignmentFormats="0" applyWidthHeightFormats="1" dataCaption="Valores" updatedVersion="5" minRefreshableVersion="3" useAutoFormatting="1" rowGrandTotals="0" itemPrintTitles="1" createdVersion="5" indent="0" outline="1" outlineData="1" multipleFieldFilters="0" chartFormat="8" rowHeaderCaption="Productos">
  <location ref="A19:B22" firstHeaderRow="1" firstDataRow="1" firstDataCol="1"/>
  <pivotFields count="4">
    <pivotField showAll="0">
      <items count="4">
        <item x="0"/>
        <item x="1"/>
        <item x="2"/>
        <item t="default"/>
      </items>
    </pivotField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7">
        <item x="2"/>
        <item x="0"/>
        <item x="1"/>
        <item x="4"/>
        <item x="3"/>
        <item x="5"/>
        <item t="default"/>
      </items>
    </pivotField>
    <pivotField dataField="1" numFmtId="164" showAll="0"/>
  </pivotFields>
  <rowFields count="1">
    <field x="1"/>
  </rowFields>
  <rowItems count="3">
    <i>
      <x v="2"/>
    </i>
    <i>
      <x v="1"/>
    </i>
    <i>
      <x/>
    </i>
  </rowItems>
  <colItems count="1">
    <i/>
  </colItems>
  <dataFields count="1">
    <dataField name="$  Ventas" fld="3" baseField="0" baseItem="0" numFmtId="169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DRgión" cacheId="43" applyNumberFormats="0" applyBorderFormats="0" applyFontFormats="0" applyPatternFormats="0" applyAlignmentFormats="0" applyWidthHeightFormats="1" dataCaption="Valores" updatedVersion="5" minRefreshableVersion="3" useAutoFormatting="1" rowGrandTotals="0" itemPrintTitles="1" createdVersion="5" indent="0" outline="1" outlineData="1" multipleFieldFilters="0" chartFormat="9" rowHeaderCaption="Region ">
  <location ref="A12:B15" firstHeaderRow="1" firstDataRow="1" firstDataCol="1"/>
  <pivotFields count="4">
    <pivotField axis="axisRow" showAll="0">
      <items count="4">
        <item x="0"/>
        <item x="1"/>
        <item x="2"/>
        <item t="default"/>
      </items>
    </pivotField>
    <pivotField showAll="0">
      <items count="4">
        <item x="0"/>
        <item x="1"/>
        <item x="2"/>
        <item t="default"/>
      </items>
    </pivotField>
    <pivotField showAll="0">
      <items count="7">
        <item x="2"/>
        <item x="0"/>
        <item x="1"/>
        <item x="4"/>
        <item x="3"/>
        <item x="5"/>
        <item t="default"/>
      </items>
    </pivotField>
    <pivotField dataField="1" numFmtId="164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$  Ventas" fld="3" baseField="0" baseItem="0" numFmtId="169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dVentas2" cacheId="38" applyNumberFormats="0" applyBorderFormats="0" applyFontFormats="0" applyPatternFormats="0" applyAlignmentFormats="0" applyWidthHeightFormats="1" dataCaption="Valores" updatedVersion="5" minRefreshableVersion="3" useAutoFormatting="1" colGrandTotals="0" itemPrintTitles="1" createdVersion="5" indent="0" outline="1" outlineData="1" multipleFieldFilters="0" chartFormat="1">
  <location ref="G3:J14" firstHeaderRow="1" firstDataRow="2" firstDataCol="1"/>
  <pivotFields count="4">
    <pivotField axis="axisRow" showAll="0">
      <items count="4">
        <item x="0"/>
        <item x="1"/>
        <item x="2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Row" showAll="0">
      <items count="7">
        <item x="2"/>
        <item x="0"/>
        <item x="1"/>
        <item x="4"/>
        <item x="3"/>
        <item x="5"/>
        <item t="default"/>
      </items>
    </pivotField>
    <pivotField dataField="1" numFmtId="164" showAll="0"/>
  </pivotFields>
  <rowFields count="2">
    <field x="0"/>
    <field x="2"/>
  </rowFields>
  <rowItems count="10">
    <i>
      <x/>
    </i>
    <i r="1">
      <x v="1"/>
    </i>
    <i r="1">
      <x v="2"/>
    </i>
    <i>
      <x v="1"/>
    </i>
    <i r="1">
      <x/>
    </i>
    <i r="1">
      <x v="4"/>
    </i>
    <i>
      <x v="2"/>
    </i>
    <i r="1">
      <x v="3"/>
    </i>
    <i r="1">
      <x v="5"/>
    </i>
    <i t="grand">
      <x/>
    </i>
  </rowItems>
  <colFields count="1">
    <field x="1"/>
  </colFields>
  <colItems count="3">
    <i>
      <x/>
    </i>
    <i>
      <x v="1"/>
    </i>
    <i>
      <x v="2"/>
    </i>
  </colItems>
  <dataFields count="1">
    <dataField name="Suma de Ventas" fld="3" baseField="0" baseItem="0" numFmtId="169"/>
  </dataFields>
  <formats count="2">
    <format dxfId="0">
      <pivotArea collapsedLevelsAreSubtotals="1" fieldPosition="0">
        <references count="2">
          <reference field="0" count="1" selected="0">
            <x v="0"/>
          </reference>
          <reference field="1" count="1">
            <x v="2"/>
          </reference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dVentas" cacheId="38" applyNumberFormats="0" applyBorderFormats="0" applyFontFormats="0" applyPatternFormats="0" applyAlignmentFormats="0" applyWidthHeightFormats="1" dataCaption="Valores" updatedVersion="5" minRefreshableVersion="3" useAutoFormatting="1" colGrandTotals="0" itemPrintTitles="1" createdVersion="5" indent="0" outline="1" outlineData="1" multipleFieldFilters="0" chartFormat="1">
  <location ref="A3:B13" firstHeaderRow="1" firstDataRow="1" firstDataCol="1" rowPageCount="1" colPageCount="1"/>
  <pivotFields count="4">
    <pivotField axis="axisRow" showAll="0">
      <items count="4">
        <item x="0"/>
        <item x="1"/>
        <item x="2"/>
        <item t="default"/>
      </items>
    </pivotField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7">
        <item x="2"/>
        <item x="0"/>
        <item x="1"/>
        <item x="4"/>
        <item x="3"/>
        <item x="5"/>
        <item t="default"/>
      </items>
    </pivotField>
    <pivotField dataField="1" numFmtId="164" showAll="0"/>
  </pivotFields>
  <rowFields count="2">
    <field x="0"/>
    <field x="2"/>
  </rowFields>
  <rowItems count="10">
    <i>
      <x/>
    </i>
    <i r="1">
      <x v="1"/>
    </i>
    <i r="1">
      <x v="2"/>
    </i>
    <i>
      <x v="1"/>
    </i>
    <i r="1">
      <x/>
    </i>
    <i r="1">
      <x v="4"/>
    </i>
    <i>
      <x v="2"/>
    </i>
    <i r="1">
      <x v="3"/>
    </i>
    <i r="1">
      <x v="5"/>
    </i>
    <i t="grand">
      <x/>
    </i>
  </rowItems>
  <colItems count="1">
    <i/>
  </colItems>
  <pageFields count="1">
    <pageField fld="1" hier="-1"/>
  </pageFields>
  <dataFields count="1">
    <dataField name="Suma de Ventas" fld="3" baseField="0" baseItem="0" numFmtId="169"/>
  </dataFields>
  <formats count="2">
    <format dxfId="2">
      <pivotArea collapsedLevelsAreSubtotals="1" fieldPosition="0">
        <references count="2">
          <reference field="0" count="1" selected="0">
            <x v="0"/>
          </reference>
          <reference field="1" count="1">
            <x v="2"/>
          </reference>
        </references>
      </pivotArea>
    </format>
    <format dxfId="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ucto1" sourceName="Producto">
  <pivotTables>
    <pivotTable tabId="2" name="TdVentas"/>
    <pivotTable tabId="2" name="TdVentas2"/>
  </pivotTables>
  <data>
    <tabular pivotCacheId="1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gion1" sourceName="Region">
  <pivotTables>
    <pivotTable tabId="8" name="TDRgión"/>
    <pivotTable tabId="8" name="TDProducto"/>
    <pivotTable tabId="8" name="TDVendedor"/>
  </pivotTables>
  <data>
    <tabular pivotCacheId="2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ucto2" sourceName="Producto">
  <pivotTables>
    <pivotTable tabId="8" name="TDRgión"/>
    <pivotTable tabId="8" name="TDProducto"/>
    <pivotTable tabId="8" name="TDVendedor"/>
  </pivotTables>
  <data>
    <tabular pivotCacheId="2">
      <items count="3">
        <i x="0" s="1"/>
        <i x="1" s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Vendedor1" sourceName="Vendedor">
  <pivotTables>
    <pivotTable tabId="8" name="TDRgión"/>
    <pivotTable tabId="8" name="TDProducto"/>
    <pivotTable tabId="8" name="TDVendedor"/>
  </pivotTables>
  <data>
    <tabular pivotCacheId="2">
      <items count="6">
        <i x="2" s="1"/>
        <i x="0" s="1"/>
        <i x="1" s="1"/>
        <i x="4" s="1"/>
        <i x="3" s="1"/>
        <i x="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gion" sourceName="Region">
  <extLst>
    <x:ext xmlns:x15="http://schemas.microsoft.com/office/spreadsheetml/2010/11/main" uri="{2F2917AC-EB37-4324-AD4E-5DD8C200BD13}">
      <x15:tableSlicerCache tableId="1" column="1" customListSort="0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ucto" sourceName="Producto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Vendedor" sourceName="Vendedor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" cache="SegmentaciónDeDatos_Region" caption="Region" style="SlicerStyleLight6" rowHeight="241300"/>
  <slicer name="Producto" cache="SegmentaciónDeDatos_Producto" caption="Producto" style="SlicerStyleLight4" rowHeight="241300"/>
  <slicer name="Vendedor" cache="SegmentaciónDeDatos_Vendedor" caption="Vendedor" columnCount="2" style="SlicerStyleLight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 1" cache="SegmentaciónDeDatos_Region1" caption="Region" style="SlicerStyleDark6" rowHeight="241300"/>
  <slicer name="Producto 2" cache="SegmentaciónDeDatos_Producto2" caption="Producto" style="SlicerStyleDark4" rowHeight="241300"/>
  <slicer name="Vendedor 1" cache="SegmentaciónDeDatos_Vendedor1" caption="Vendedor" style="SlicerStyleDark5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ucto 1" cache="SegmentaciónDeDatos_Producto1" caption="Producto" rowHeight="241300"/>
</slicers>
</file>

<file path=xl/tables/table1.xml><?xml version="1.0" encoding="utf-8"?>
<table xmlns="http://schemas.openxmlformats.org/spreadsheetml/2006/main" id="1" name="TablaVentas" displayName="TablaVentas" ref="A1:D20" totalsRowCount="1" headerRowDxfId="8" headerRowCellStyle="Moneda">
  <autoFilter ref="A1:D19"/>
  <tableColumns count="4">
    <tableColumn id="1" name="Region" totalsRowLabel="Total" dataDxfId="7" dataCellStyle="Moneda"/>
    <tableColumn id="2" name="Producto" dataDxfId="6" dataCellStyle="Moneda"/>
    <tableColumn id="3" name="Vendedor" dataDxfId="5" dataCellStyle="Moneda"/>
    <tableColumn id="4" name="Ventas" totalsRowFunction="sum" dataDxfId="4" dataCellStyle="Moneda"/>
  </tableColumns>
  <tableStyleInfo name="TableStyleDark2" showFirstColumn="0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2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3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20"/>
  <sheetViews>
    <sheetView tabSelected="1" workbookViewId="0">
      <selection activeCell="C22" sqref="C22"/>
    </sheetView>
  </sheetViews>
  <sheetFormatPr baseColWidth="10" defaultColWidth="9.140625" defaultRowHeight="15" x14ac:dyDescent="0.25"/>
  <cols>
    <col min="1" max="1" width="10.85546875" bestFit="1" customWidth="1"/>
    <col min="2" max="2" width="11.28515625" customWidth="1"/>
    <col min="3" max="3" width="12" customWidth="1"/>
    <col min="4" max="4" width="14.28515625" customWidth="1"/>
    <col min="5" max="5" width="6.42578125" customWidth="1"/>
    <col min="11" max="11" width="10.7109375" bestFit="1" customWidth="1"/>
  </cols>
  <sheetData>
    <row r="1" spans="1:11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11" x14ac:dyDescent="0.25">
      <c r="A2" s="2" t="s">
        <v>4</v>
      </c>
      <c r="B2" s="2" t="s">
        <v>5</v>
      </c>
      <c r="C2" s="2" t="s">
        <v>6</v>
      </c>
      <c r="D2" s="2">
        <v>8287</v>
      </c>
      <c r="E2" s="1"/>
      <c r="K2" s="1"/>
    </row>
    <row r="3" spans="1:11" x14ac:dyDescent="0.25">
      <c r="A3" s="2" t="s">
        <v>4</v>
      </c>
      <c r="B3" s="2" t="s">
        <v>5</v>
      </c>
      <c r="C3" s="2" t="s">
        <v>7</v>
      </c>
      <c r="D3" s="2">
        <v>6909</v>
      </c>
      <c r="E3" s="1"/>
    </row>
    <row r="4" spans="1:11" x14ac:dyDescent="0.25">
      <c r="A4" s="2" t="s">
        <v>4</v>
      </c>
      <c r="B4" s="2" t="s">
        <v>8</v>
      </c>
      <c r="C4" s="2" t="s">
        <v>6</v>
      </c>
      <c r="D4" s="2">
        <v>11420</v>
      </c>
    </row>
    <row r="5" spans="1:11" x14ac:dyDescent="0.25">
      <c r="A5" s="2" t="s">
        <v>4</v>
      </c>
      <c r="B5" s="2" t="s">
        <v>8</v>
      </c>
      <c r="C5" s="2" t="s">
        <v>7</v>
      </c>
      <c r="D5" s="2">
        <v>12948</v>
      </c>
    </row>
    <row r="6" spans="1:11" x14ac:dyDescent="0.25">
      <c r="A6" s="2" t="s">
        <v>4</v>
      </c>
      <c r="B6" s="2" t="s">
        <v>9</v>
      </c>
      <c r="C6" s="2" t="s">
        <v>6</v>
      </c>
      <c r="D6" s="2">
        <v>20098</v>
      </c>
    </row>
    <row r="7" spans="1:11" x14ac:dyDescent="0.25">
      <c r="A7" s="2" t="s">
        <v>4</v>
      </c>
      <c r="B7" s="2" t="s">
        <v>9</v>
      </c>
      <c r="C7" s="2" t="s">
        <v>7</v>
      </c>
      <c r="D7" s="2">
        <v>30633</v>
      </c>
    </row>
    <row r="8" spans="1:11" x14ac:dyDescent="0.25">
      <c r="A8" s="2" t="s">
        <v>10</v>
      </c>
      <c r="B8" s="2" t="s">
        <v>5</v>
      </c>
      <c r="C8" s="2" t="s">
        <v>11</v>
      </c>
      <c r="D8" s="2">
        <v>9323</v>
      </c>
    </row>
    <row r="9" spans="1:11" x14ac:dyDescent="0.25">
      <c r="A9" s="2" t="s">
        <v>10</v>
      </c>
      <c r="B9" s="2" t="s">
        <v>5</v>
      </c>
      <c r="C9" s="2" t="s">
        <v>12</v>
      </c>
      <c r="D9" s="2">
        <v>7667</v>
      </c>
    </row>
    <row r="10" spans="1:11" x14ac:dyDescent="0.25">
      <c r="A10" s="2" t="s">
        <v>10</v>
      </c>
      <c r="B10" s="2" t="s">
        <v>8</v>
      </c>
      <c r="C10" s="2" t="s">
        <v>11</v>
      </c>
      <c r="D10" s="2">
        <v>10348</v>
      </c>
    </row>
    <row r="11" spans="1:11" x14ac:dyDescent="0.25">
      <c r="A11" s="2" t="s">
        <v>10</v>
      </c>
      <c r="B11" s="2" t="s">
        <v>8</v>
      </c>
      <c r="C11" s="2" t="s">
        <v>12</v>
      </c>
      <c r="D11" s="2">
        <v>9312</v>
      </c>
    </row>
    <row r="12" spans="1:11" x14ac:dyDescent="0.25">
      <c r="A12" s="2" t="s">
        <v>10</v>
      </c>
      <c r="B12" s="2" t="s">
        <v>9</v>
      </c>
      <c r="C12" s="2" t="s">
        <v>11</v>
      </c>
      <c r="D12" s="2">
        <v>13531</v>
      </c>
    </row>
    <row r="13" spans="1:11" x14ac:dyDescent="0.25">
      <c r="A13" s="2" t="s">
        <v>10</v>
      </c>
      <c r="B13" s="2" t="s">
        <v>9</v>
      </c>
      <c r="C13" s="2" t="s">
        <v>12</v>
      </c>
      <c r="D13" s="2">
        <v>13374</v>
      </c>
    </row>
    <row r="14" spans="1:11" x14ac:dyDescent="0.25">
      <c r="A14" s="2" t="s">
        <v>13</v>
      </c>
      <c r="B14" s="2" t="s">
        <v>5</v>
      </c>
      <c r="C14" s="2" t="s">
        <v>14</v>
      </c>
      <c r="D14" s="2">
        <v>4744</v>
      </c>
    </row>
    <row r="15" spans="1:11" x14ac:dyDescent="0.25">
      <c r="A15" s="2" t="s">
        <v>13</v>
      </c>
      <c r="B15" s="2" t="s">
        <v>5</v>
      </c>
      <c r="C15" s="2" t="s">
        <v>15</v>
      </c>
      <c r="D15" s="2">
        <v>5442</v>
      </c>
    </row>
    <row r="16" spans="1:11" x14ac:dyDescent="0.25">
      <c r="A16" s="2" t="s">
        <v>13</v>
      </c>
      <c r="B16" s="2" t="s">
        <v>8</v>
      </c>
      <c r="C16" s="2" t="s">
        <v>14</v>
      </c>
      <c r="D16" s="2">
        <v>10711</v>
      </c>
    </row>
    <row r="17" spans="1:4" x14ac:dyDescent="0.25">
      <c r="A17" s="2" t="s">
        <v>13</v>
      </c>
      <c r="B17" s="2" t="s">
        <v>8</v>
      </c>
      <c r="C17" s="2" t="s">
        <v>15</v>
      </c>
      <c r="D17" s="2">
        <v>8780</v>
      </c>
    </row>
    <row r="18" spans="1:4" x14ac:dyDescent="0.25">
      <c r="A18" s="2" t="s">
        <v>13</v>
      </c>
      <c r="B18" s="2" t="s">
        <v>9</v>
      </c>
      <c r="C18" s="2" t="s">
        <v>14</v>
      </c>
      <c r="D18" s="2">
        <v>32855</v>
      </c>
    </row>
    <row r="19" spans="1:4" x14ac:dyDescent="0.25">
      <c r="A19" s="2" t="s">
        <v>13</v>
      </c>
      <c r="B19" s="2" t="s">
        <v>9</v>
      </c>
      <c r="C19" s="2" t="s">
        <v>15</v>
      </c>
      <c r="D19" s="2">
        <v>45000</v>
      </c>
    </row>
    <row r="20" spans="1:4" x14ac:dyDescent="0.25">
      <c r="A20" t="s">
        <v>16</v>
      </c>
      <c r="D20">
        <f>SUBTOTAL(109,TablaVentas[Ventas])</f>
        <v>261382</v>
      </c>
    </row>
  </sheetData>
  <conditionalFormatting sqref="D1:D20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{18530E1D-6470-4E82-8FFE-08749F2DF551}</x14:id>
        </ext>
      </extLst>
    </cfRule>
  </conditionalFormatting>
  <conditionalFormatting sqref="H9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{D2C63BA3-F502-46A5-921D-93D6674633A4}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530E1D-6470-4E82-8FFE-08749F2DF5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D1:D20</xm:sqref>
        </x14:conditionalFormatting>
        <x14:conditionalFormatting xmlns:xm="http://schemas.microsoft.com/office/excel/2006/main">
          <x14:cfRule type="dataBar" id="{D2C63BA3-F502-46A5-921D-93D6674633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H9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33"/>
  <sheetViews>
    <sheetView showGridLines="0" topLeftCell="A9" zoomScaleNormal="100" workbookViewId="0">
      <selection activeCell="D36" sqref="D36"/>
    </sheetView>
  </sheetViews>
  <sheetFormatPr baseColWidth="10" defaultRowHeight="15" x14ac:dyDescent="0.25"/>
  <cols>
    <col min="1" max="1" width="9.85546875" customWidth="1"/>
    <col min="2" max="2" width="9" customWidth="1"/>
    <col min="3" max="3" width="11.42578125" customWidth="1"/>
    <col min="10" max="10" width="7.42578125" customWidth="1"/>
  </cols>
  <sheetData>
    <row r="1" spans="1:12" ht="15" customHeight="1" x14ac:dyDescent="0.5">
      <c r="A1" s="11" t="s">
        <v>26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0"/>
    </row>
    <row r="2" spans="1:12" ht="15" customHeight="1" x14ac:dyDescent="0.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0"/>
    </row>
    <row r="3" spans="1:12" ht="15" customHeight="1" x14ac:dyDescent="0.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0"/>
    </row>
    <row r="6" spans="1:12" ht="15.75" thickBot="1" x14ac:dyDescent="0.3"/>
    <row r="7" spans="1:12" ht="19.5" thickBot="1" x14ac:dyDescent="0.35">
      <c r="A7" s="8" t="s">
        <v>25</v>
      </c>
      <c r="B7" s="9"/>
    </row>
    <row r="8" spans="1:12" x14ac:dyDescent="0.25">
      <c r="A8" s="7">
        <f>GETPIVOTDATA("Ventas",$A$26)</f>
        <v>261382</v>
      </c>
      <c r="B8" s="7"/>
    </row>
    <row r="9" spans="1:12" x14ac:dyDescent="0.25">
      <c r="A9" s="7"/>
      <c r="B9" s="7"/>
    </row>
    <row r="10" spans="1:12" x14ac:dyDescent="0.25">
      <c r="A10" s="7"/>
      <c r="B10" s="7"/>
    </row>
    <row r="12" spans="1:12" x14ac:dyDescent="0.25">
      <c r="A12" s="3" t="s">
        <v>22</v>
      </c>
      <c r="B12" t="s">
        <v>23</v>
      </c>
    </row>
    <row r="13" spans="1:12" x14ac:dyDescent="0.25">
      <c r="A13" s="4" t="s">
        <v>4</v>
      </c>
      <c r="B13" s="6">
        <v>90295</v>
      </c>
    </row>
    <row r="14" spans="1:12" x14ac:dyDescent="0.25">
      <c r="A14" s="4" t="s">
        <v>10</v>
      </c>
      <c r="B14" s="6">
        <v>63555</v>
      </c>
    </row>
    <row r="15" spans="1:12" x14ac:dyDescent="0.25">
      <c r="A15" s="4" t="s">
        <v>13</v>
      </c>
      <c r="B15" s="6">
        <v>107532</v>
      </c>
    </row>
    <row r="19" spans="1:2" x14ac:dyDescent="0.25">
      <c r="A19" s="3" t="s">
        <v>24</v>
      </c>
      <c r="B19" t="s">
        <v>23</v>
      </c>
    </row>
    <row r="20" spans="1:2" x14ac:dyDescent="0.25">
      <c r="A20" s="4" t="s">
        <v>9</v>
      </c>
      <c r="B20" s="6">
        <v>155491</v>
      </c>
    </row>
    <row r="21" spans="1:2" x14ac:dyDescent="0.25">
      <c r="A21" s="4" t="s">
        <v>8</v>
      </c>
      <c r="B21" s="6">
        <v>63519</v>
      </c>
    </row>
    <row r="22" spans="1:2" x14ac:dyDescent="0.25">
      <c r="A22" s="4" t="s">
        <v>5</v>
      </c>
      <c r="B22" s="6">
        <v>42372</v>
      </c>
    </row>
    <row r="26" spans="1:2" x14ac:dyDescent="0.25">
      <c r="A26" s="3" t="s">
        <v>2</v>
      </c>
      <c r="B26" t="s">
        <v>23</v>
      </c>
    </row>
    <row r="27" spans="1:2" x14ac:dyDescent="0.25">
      <c r="A27" s="4" t="s">
        <v>15</v>
      </c>
      <c r="B27" s="6">
        <v>59222</v>
      </c>
    </row>
    <row r="28" spans="1:2" x14ac:dyDescent="0.25">
      <c r="A28" s="4" t="s">
        <v>7</v>
      </c>
      <c r="B28" s="6">
        <v>50490</v>
      </c>
    </row>
    <row r="29" spans="1:2" x14ac:dyDescent="0.25">
      <c r="A29" s="4" t="s">
        <v>14</v>
      </c>
      <c r="B29" s="6">
        <v>48310</v>
      </c>
    </row>
    <row r="30" spans="1:2" x14ac:dyDescent="0.25">
      <c r="A30" s="4" t="s">
        <v>6</v>
      </c>
      <c r="B30" s="6">
        <v>39805</v>
      </c>
    </row>
    <row r="31" spans="1:2" x14ac:dyDescent="0.25">
      <c r="A31" s="4" t="s">
        <v>11</v>
      </c>
      <c r="B31" s="6">
        <v>33202</v>
      </c>
    </row>
    <row r="32" spans="1:2" x14ac:dyDescent="0.25">
      <c r="A32" s="4" t="s">
        <v>12</v>
      </c>
      <c r="B32" s="6">
        <v>30353</v>
      </c>
    </row>
    <row r="33" spans="1:2" x14ac:dyDescent="0.25">
      <c r="A33" s="4" t="s">
        <v>19</v>
      </c>
      <c r="B33" s="6">
        <v>261382</v>
      </c>
    </row>
  </sheetData>
  <mergeCells count="3">
    <mergeCell ref="A8:B10"/>
    <mergeCell ref="A7:B7"/>
    <mergeCell ref="A1:K3"/>
  </mergeCells>
  <conditionalFormatting sqref="A12:B12 A13:A15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{F9260587-CEAA-4871-88E6-F1F9FE11CD67}</x14:id>
        </ext>
      </extLst>
    </cfRule>
  </conditionalFormatting>
  <conditionalFormatting sqref="A19:B19 A20:A22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{8725DFC9-52EA-466E-993F-2E942393D73E}</x14:id>
        </ext>
      </extLst>
    </cfRule>
  </conditionalFormatting>
  <conditionalFormatting sqref="A26:B26 A27:A3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{3F8EF671-A6A4-4255-B690-46AC0CDE11EF}</x14:id>
        </ext>
      </extLst>
    </cfRule>
  </conditionalFormatting>
  <pageMargins left="0.7" right="0.7" top="0.75" bottom="0.75" header="0.3" footer="0.3"/>
  <pageSetup paperSize="9" orientation="landscape" r:id="rId4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260587-CEAA-4871-88E6-F1F9FE11CD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A12:B12 A13:A15</xm:sqref>
        </x14:conditionalFormatting>
        <x14:conditionalFormatting xmlns:xm="http://schemas.microsoft.com/office/excel/2006/main">
          <x14:cfRule type="dataBar" id="{8725DFC9-52EA-466E-993F-2E942393D7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A19:B19 A20:A22</xm:sqref>
        </x14:conditionalFormatting>
        <x14:conditionalFormatting xmlns:xm="http://schemas.microsoft.com/office/excel/2006/main">
          <x14:cfRule type="dataBar" id="{3F8EF671-A6A4-4255-B690-46AC0CDE11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A26:B26 A27:A32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4"/>
  <sheetViews>
    <sheetView topLeftCell="A17" workbookViewId="0">
      <selection activeCell="E11" sqref="E11"/>
    </sheetView>
  </sheetViews>
  <sheetFormatPr baseColWidth="10" defaultRowHeight="15" x14ac:dyDescent="0.25"/>
  <cols>
    <col min="1" max="1" width="17.5703125" bestFit="1" customWidth="1"/>
    <col min="2" max="2" width="15.140625" customWidth="1"/>
    <col min="3" max="3" width="11.7109375" customWidth="1"/>
    <col min="4" max="4" width="9" customWidth="1"/>
    <col min="7" max="7" width="17.5703125" bestFit="1" customWidth="1"/>
    <col min="8" max="8" width="22.42578125" bestFit="1" customWidth="1"/>
    <col min="9" max="9" width="11.7109375" bestFit="1" customWidth="1"/>
    <col min="10" max="10" width="9" customWidth="1"/>
  </cols>
  <sheetData>
    <row r="1" spans="1:10" x14ac:dyDescent="0.25">
      <c r="A1" s="3" t="s">
        <v>1</v>
      </c>
      <c r="B1" t="s">
        <v>20</v>
      </c>
    </row>
    <row r="3" spans="1:10" x14ac:dyDescent="0.25">
      <c r="A3" s="3" t="s">
        <v>18</v>
      </c>
      <c r="B3" t="s">
        <v>17</v>
      </c>
      <c r="G3" s="3" t="s">
        <v>17</v>
      </c>
      <c r="H3" s="3" t="s">
        <v>21</v>
      </c>
    </row>
    <row r="4" spans="1:10" x14ac:dyDescent="0.25">
      <c r="A4" s="4" t="s">
        <v>4</v>
      </c>
      <c r="B4" s="6">
        <v>90295</v>
      </c>
      <c r="G4" s="3" t="s">
        <v>18</v>
      </c>
      <c r="H4" t="s">
        <v>5</v>
      </c>
      <c r="I4" t="s">
        <v>8</v>
      </c>
      <c r="J4" t="s">
        <v>9</v>
      </c>
    </row>
    <row r="5" spans="1:10" x14ac:dyDescent="0.25">
      <c r="A5" s="5" t="s">
        <v>6</v>
      </c>
      <c r="B5" s="6">
        <v>39805</v>
      </c>
      <c r="G5" s="4" t="s">
        <v>4</v>
      </c>
      <c r="H5" s="6">
        <v>15196</v>
      </c>
      <c r="I5" s="6">
        <v>24368</v>
      </c>
      <c r="J5" s="6">
        <v>50731</v>
      </c>
    </row>
    <row r="6" spans="1:10" x14ac:dyDescent="0.25">
      <c r="A6" s="5" t="s">
        <v>7</v>
      </c>
      <c r="B6" s="6">
        <v>50490</v>
      </c>
      <c r="G6" s="5" t="s">
        <v>6</v>
      </c>
      <c r="H6" s="6">
        <v>8287</v>
      </c>
      <c r="I6" s="6">
        <v>11420</v>
      </c>
      <c r="J6" s="6">
        <v>20098</v>
      </c>
    </row>
    <row r="7" spans="1:10" x14ac:dyDescent="0.25">
      <c r="A7" s="4" t="s">
        <v>10</v>
      </c>
      <c r="B7" s="6">
        <v>63555</v>
      </c>
      <c r="G7" s="5" t="s">
        <v>7</v>
      </c>
      <c r="H7" s="6">
        <v>6909</v>
      </c>
      <c r="I7" s="6">
        <v>12948</v>
      </c>
      <c r="J7" s="6">
        <v>30633</v>
      </c>
    </row>
    <row r="8" spans="1:10" x14ac:dyDescent="0.25">
      <c r="A8" s="5" t="s">
        <v>11</v>
      </c>
      <c r="B8" s="6">
        <v>33202</v>
      </c>
      <c r="G8" s="4" t="s">
        <v>10</v>
      </c>
      <c r="H8" s="6">
        <v>16990</v>
      </c>
      <c r="I8" s="6">
        <v>19660</v>
      </c>
      <c r="J8" s="6">
        <v>26905</v>
      </c>
    </row>
    <row r="9" spans="1:10" x14ac:dyDescent="0.25">
      <c r="A9" s="5" t="s">
        <v>12</v>
      </c>
      <c r="B9" s="6">
        <v>30353</v>
      </c>
      <c r="G9" s="5" t="s">
        <v>11</v>
      </c>
      <c r="H9" s="6">
        <v>9323</v>
      </c>
      <c r="I9" s="6">
        <v>10348</v>
      </c>
      <c r="J9" s="6">
        <v>13531</v>
      </c>
    </row>
    <row r="10" spans="1:10" x14ac:dyDescent="0.25">
      <c r="A10" s="4" t="s">
        <v>13</v>
      </c>
      <c r="B10" s="6">
        <v>107532</v>
      </c>
      <c r="G10" s="5" t="s">
        <v>12</v>
      </c>
      <c r="H10" s="6">
        <v>7667</v>
      </c>
      <c r="I10" s="6">
        <v>9312</v>
      </c>
      <c r="J10" s="6">
        <v>13374</v>
      </c>
    </row>
    <row r="11" spans="1:10" x14ac:dyDescent="0.25">
      <c r="A11" s="5" t="s">
        <v>14</v>
      </c>
      <c r="B11" s="6">
        <v>48310</v>
      </c>
      <c r="G11" s="4" t="s">
        <v>13</v>
      </c>
      <c r="H11" s="6">
        <v>10186</v>
      </c>
      <c r="I11" s="6">
        <v>19491</v>
      </c>
      <c r="J11" s="6">
        <v>77855</v>
      </c>
    </row>
    <row r="12" spans="1:10" x14ac:dyDescent="0.25">
      <c r="A12" s="5" t="s">
        <v>15</v>
      </c>
      <c r="B12" s="6">
        <v>59222</v>
      </c>
      <c r="G12" s="5" t="s">
        <v>14</v>
      </c>
      <c r="H12" s="6">
        <v>4744</v>
      </c>
      <c r="I12" s="6">
        <v>10711</v>
      </c>
      <c r="J12" s="6">
        <v>32855</v>
      </c>
    </row>
    <row r="13" spans="1:10" x14ac:dyDescent="0.25">
      <c r="A13" s="4" t="s">
        <v>19</v>
      </c>
      <c r="B13" s="6">
        <v>261382</v>
      </c>
      <c r="G13" s="5" t="s">
        <v>15</v>
      </c>
      <c r="H13" s="6">
        <v>5442</v>
      </c>
      <c r="I13" s="6">
        <v>8780</v>
      </c>
      <c r="J13" s="6">
        <v>45000</v>
      </c>
    </row>
    <row r="14" spans="1:10" x14ac:dyDescent="0.25">
      <c r="G14" s="4" t="s">
        <v>19</v>
      </c>
      <c r="H14" s="6">
        <v>42372</v>
      </c>
      <c r="I14" s="6">
        <v>63519</v>
      </c>
      <c r="J14" s="6">
        <v>155491</v>
      </c>
    </row>
  </sheetData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Ventas</vt:lpstr>
      <vt:lpstr>Informe</vt:lpstr>
      <vt:lpstr>Tablas dinámicas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Ventas</dc:title>
  <dc:creator>Javier Gomez</dc:creator>
  <cp:keywords>datdata.com.mx</cp:keywords>
  <cp:lastModifiedBy>marvar2410@hotmail.com</cp:lastModifiedBy>
  <cp:lastPrinted>2022-08-06T14:18:55Z</cp:lastPrinted>
  <dcterms:created xsi:type="dcterms:W3CDTF">2019-07-13T22:11:28Z</dcterms:created>
  <dcterms:modified xsi:type="dcterms:W3CDTF">2022-08-06T14:36:37Z</dcterms:modified>
</cp:coreProperties>
</file>